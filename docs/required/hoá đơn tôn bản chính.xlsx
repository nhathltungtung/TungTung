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HOÁ ĐƠN\viết hoá đơn\"/>
    </mc:Choice>
  </mc:AlternateContent>
  <xr:revisionPtr revIDLastSave="0" documentId="13_ncr:1_{BB5C9627-68DB-4899-BC62-84471C228251}" xr6:coauthVersionLast="36" xr6:coauthVersionMax="36" xr10:uidLastSave="{00000000-0000-0000-0000-000000000000}"/>
  <bookViews>
    <workbookView xWindow="0" yWindow="0" windowWidth="23040" windowHeight="9060" xr2:uid="{95806C8A-2BD6-4020-8AB9-BF417B3868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8" i="1" l="1"/>
  <c r="I26" i="1"/>
  <c r="I25" i="1"/>
  <c r="I24" i="1"/>
  <c r="I23" i="1"/>
  <c r="I22" i="1"/>
  <c r="E23" i="1"/>
  <c r="D22" i="1"/>
  <c r="E12" i="1"/>
  <c r="E13" i="1"/>
  <c r="E14" i="1"/>
  <c r="E15" i="1"/>
  <c r="E16" i="1"/>
  <c r="E17" i="1"/>
  <c r="E18" i="1"/>
  <c r="E19" i="1"/>
  <c r="E20" i="1"/>
  <c r="E21" i="1"/>
  <c r="E11" i="1"/>
  <c r="E22" i="1" s="1"/>
  <c r="G22" i="1" s="1"/>
</calcChain>
</file>

<file path=xl/sharedStrings.xml><?xml version="1.0" encoding="utf-8"?>
<sst xmlns="http://schemas.openxmlformats.org/spreadsheetml/2006/main" count="21" uniqueCount="21">
  <si>
    <t>STT</t>
  </si>
  <si>
    <t>Tên hàng</t>
  </si>
  <si>
    <t>Đơn giá</t>
  </si>
  <si>
    <t>Thành tiền</t>
  </si>
  <si>
    <t>Mét dài</t>
  </si>
  <si>
    <t>Khổ</t>
  </si>
  <si>
    <t>Số tấm</t>
  </si>
  <si>
    <t>Chiều dài</t>
  </si>
  <si>
    <t>Tổng đơn hàng</t>
  </si>
  <si>
    <t>Tổng m²</t>
  </si>
  <si>
    <t>Tổng loại</t>
  </si>
  <si>
    <t>Sườn 300</t>
  </si>
  <si>
    <t>------------------------</t>
  </si>
  <si>
    <t>Tôn 0,4 Xanh Rêu Olympic 1 lớp 11 sóng.</t>
  </si>
  <si>
    <t>Máng 400 Inox 304</t>
  </si>
  <si>
    <t>md</t>
  </si>
  <si>
    <t>kg</t>
  </si>
  <si>
    <t>Keo A500</t>
  </si>
  <si>
    <t>Lọ</t>
  </si>
  <si>
    <t>Túi</t>
  </si>
  <si>
    <t>Vít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</si>
</sst>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.000"/>
    <numFmt numFmtId="165" formatCode="#,##0.0"/>
    <numFmt numFmtId="166" formatCode="0.000"/>
    <numFmt numFmtId="167" formatCode="_(* #,##0.000_);_(* \(#,##0.000\);_(* &quot;-&quot;??_);_(@_)"/>
  </numFmts>
  <fonts count="17" x14ac:knownFonts="1">
    <font>
      <sz val="11"/>
      <color theme="1"/>
      <name val="Calibri"/>
      <family val="2"/>
      <charset val="163"/>
      <scheme val="minor"/>
    </font>
    <font>
      <b/>
      <sz val="12"/>
      <color rgb="FF00000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right" vertical="center"/>
    </xf>
    <xf numFmtId="4" fontId="8" fillId="4" borderId="1" xfId="0" applyNumberFormat="1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right" vertical="center" wrapText="1"/>
    </xf>
    <xf numFmtId="4" fontId="7" fillId="4" borderId="1" xfId="0" applyNumberFormat="1" applyFont="1" applyFill="1" applyBorder="1" applyAlignment="1">
      <alignment horizontal="center" vertical="center" wrapText="1"/>
    </xf>
    <xf numFmtId="4" fontId="6" fillId="4" borderId="1" xfId="0" applyNumberFormat="1" applyFont="1" applyFill="1" applyBorder="1" applyAlignment="1">
      <alignment vertical="center" wrapText="1"/>
    </xf>
    <xf numFmtId="3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/>
    <xf numFmtId="164" fontId="6" fillId="4" borderId="1" xfId="1" applyNumberFormat="1" applyFont="1" applyFill="1" applyBorder="1" applyAlignment="1">
      <alignment horizontal="right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/>
    </xf>
    <xf numFmtId="3" fontId="10" fillId="4" borderId="1" xfId="0" applyNumberFormat="1" applyFont="1" applyFill="1" applyBorder="1" applyAlignment="1">
      <alignment horizontal="center" vertical="center"/>
    </xf>
    <xf numFmtId="164" fontId="6" fillId="4" borderId="1" xfId="1" quotePrefix="1" applyNumberFormat="1" applyFont="1" applyFill="1" applyBorder="1" applyAlignment="1">
      <alignment horizontal="right" vertical="center" wrapText="1"/>
    </xf>
    <xf numFmtId="3" fontId="6" fillId="4" borderId="1" xfId="0" applyNumberFormat="1" applyFont="1" applyFill="1" applyBorder="1" applyAlignment="1">
      <alignment vertical="center"/>
    </xf>
    <xf numFmtId="0" fontId="12" fillId="0" borderId="1" xfId="0" applyFont="1" applyFill="1" applyBorder="1" applyAlignment="1">
      <alignment vertical="top" wrapText="1"/>
    </xf>
    <xf numFmtId="4" fontId="13" fillId="0" borderId="1" xfId="0" applyNumberFormat="1" applyFont="1" applyFill="1" applyBorder="1" applyAlignment="1">
      <alignment horizontal="center" vertical="center" wrapText="1"/>
    </xf>
    <xf numFmtId="3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/>
    </xf>
    <xf numFmtId="0" fontId="12" fillId="0" borderId="1" xfId="0" applyFont="1" applyFill="1" applyBorder="1" applyAlignment="1"/>
    <xf numFmtId="3" fontId="13" fillId="0" borderId="1" xfId="0" applyNumberFormat="1" applyFont="1" applyFill="1" applyBorder="1" applyAlignment="1">
      <alignment horizontal="center"/>
    </xf>
    <xf numFmtId="164" fontId="13" fillId="0" borderId="1" xfId="0" applyNumberFormat="1" applyFont="1" applyFill="1" applyBorder="1" applyAlignment="1">
      <alignment horizontal="right" vertical="center" wrapText="1"/>
    </xf>
    <xf numFmtId="167" fontId="12" fillId="0" borderId="1" xfId="1" applyNumberFormat="1" applyFont="1" applyFill="1" applyBorder="1" applyAlignment="1"/>
    <xf numFmtId="4" fontId="12" fillId="0" borderId="1" xfId="0" applyNumberFormat="1" applyFont="1" applyFill="1" applyBorder="1" applyAlignment="1">
      <alignment horizontal="center" vertical="center" wrapText="1"/>
    </xf>
    <xf numFmtId="3" fontId="12" fillId="0" borderId="1" xfId="0" applyNumberFormat="1" applyFont="1" applyFill="1" applyBorder="1" applyAlignment="1">
      <alignment horizontal="center"/>
    </xf>
    <xf numFmtId="164" fontId="12" fillId="0" borderId="1" xfId="0" applyNumberFormat="1" applyFont="1" applyFill="1" applyBorder="1" applyAlignment="1">
      <alignment horizontal="righ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top" wrapText="1"/>
    </xf>
    <xf numFmtId="3" fontId="11" fillId="0" borderId="1" xfId="0" applyNumberFormat="1" applyFont="1" applyFill="1" applyBorder="1" applyAlignment="1">
      <alignment horizontal="center" vertical="center" wrapText="1"/>
    </xf>
    <xf numFmtId="4" fontId="11" fillId="0" borderId="1" xfId="0" applyNumberFormat="1" applyFont="1" applyFill="1" applyBorder="1" applyAlignment="1">
      <alignment horizontal="center" vertical="center" wrapText="1"/>
    </xf>
    <xf numFmtId="2" fontId="13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64" fontId="12" fillId="0" borderId="1" xfId="0" quotePrefix="1" applyNumberFormat="1" applyFont="1" applyFill="1" applyBorder="1" applyAlignment="1">
      <alignment horizontal="right" vertical="center" wrapText="1"/>
    </xf>
    <xf numFmtId="0" fontId="12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vertical="center" wrapText="1"/>
    </xf>
    <xf numFmtId="164" fontId="11" fillId="0" borderId="1" xfId="0" applyNumberFormat="1" applyFont="1" applyFill="1" applyBorder="1" applyAlignment="1">
      <alignment horizontal="center"/>
    </xf>
    <xf numFmtId="4" fontId="11" fillId="0" borderId="1" xfId="0" applyNumberFormat="1" applyFont="1" applyFill="1" applyBorder="1" applyAlignment="1">
      <alignment vertical="center" wrapText="1"/>
    </xf>
    <xf numFmtId="164" fontId="12" fillId="0" borderId="1" xfId="0" applyNumberFormat="1" applyFont="1" applyFill="1" applyBorder="1" applyAlignment="1">
      <alignment horizontal="center"/>
    </xf>
    <xf numFmtId="3" fontId="12" fillId="0" borderId="1" xfId="0" applyNumberFormat="1" applyFont="1" applyFill="1" applyBorder="1" applyAlignment="1">
      <alignment horizontal="center" vertical="center"/>
    </xf>
    <xf numFmtId="4" fontId="12" fillId="0" borderId="1" xfId="0" applyNumberFormat="1" applyFont="1" applyFill="1" applyBorder="1" applyAlignment="1">
      <alignment vertical="center" wrapText="1"/>
    </xf>
    <xf numFmtId="3" fontId="12" fillId="0" borderId="1" xfId="0" applyNumberFormat="1" applyFont="1" applyFill="1" applyBorder="1" applyAlignment="1">
      <alignment horizontal="center" vertical="center" wrapText="1"/>
    </xf>
    <xf numFmtId="4" fontId="15" fillId="0" borderId="1" xfId="0" applyNumberFormat="1" applyFont="1" applyFill="1" applyBorder="1" applyAlignment="1">
      <alignment horizontal="center" vertical="center" wrapText="1"/>
    </xf>
    <xf numFmtId="165" fontId="12" fillId="0" borderId="1" xfId="0" applyNumberFormat="1" applyFont="1" applyFill="1" applyBorder="1" applyAlignment="1">
      <alignment horizontal="center"/>
    </xf>
    <xf numFmtId="2" fontId="9" fillId="0" borderId="1" xfId="0" applyNumberFormat="1" applyFont="1" applyFill="1" applyBorder="1" applyAlignment="1">
      <alignment horizontal="center"/>
    </xf>
    <xf numFmtId="0" fontId="14" fillId="0" borderId="5" xfId="0" applyFont="1" applyFill="1" applyBorder="1" applyAlignment="1">
      <alignment vertical="top" wrapText="1"/>
    </xf>
    <xf numFmtId="0" fontId="6" fillId="0" borderId="1" xfId="0" applyFont="1" applyFill="1" applyBorder="1" applyAlignment="1">
      <alignment horizontal="center" vertical="center" wrapText="1"/>
    </xf>
    <xf numFmtId="2" fontId="13" fillId="0" borderId="1" xfId="0" applyNumberFormat="1" applyFont="1" applyFill="1" applyBorder="1" applyAlignment="1">
      <alignment horizontal="center"/>
    </xf>
    <xf numFmtId="2" fontId="12" fillId="0" borderId="1" xfId="0" applyNumberFormat="1" applyFont="1" applyFill="1" applyBorder="1" applyAlignment="1">
      <alignment vertical="center"/>
    </xf>
    <xf numFmtId="167" fontId="12" fillId="0" borderId="1" xfId="1" applyNumberFormat="1" applyFont="1" applyFill="1" applyBorder="1" applyAlignment="1">
      <alignment vertical="center"/>
    </xf>
    <xf numFmtId="0" fontId="13" fillId="0" borderId="1" xfId="0" applyFont="1" applyFill="1" applyBorder="1" applyAlignment="1"/>
    <xf numFmtId="166" fontId="13" fillId="0" borderId="1" xfId="0" applyNumberFormat="1" applyFont="1" applyFill="1" applyBorder="1" applyAlignment="1"/>
    <xf numFmtId="164" fontId="13" fillId="0" borderId="1" xfId="0" applyNumberFormat="1" applyFont="1" applyFill="1" applyBorder="1" applyAlignment="1">
      <alignment horizontal="center" vertical="center" wrapText="1"/>
    </xf>
    <xf numFmtId="2" fontId="13" fillId="0" borderId="1" xfId="0" applyNumberFormat="1" applyFont="1" applyFill="1" applyBorder="1" applyAlignment="1">
      <alignment vertical="center"/>
    </xf>
    <xf numFmtId="2" fontId="13" fillId="0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3" fontId="11" fillId="0" borderId="1" xfId="0" applyNumberFormat="1" applyFont="1" applyFill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167" fontId="12" fillId="0" borderId="1" xfId="1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2" fillId="0" borderId="3" xfId="0" applyFont="1" applyFill="1" applyBorder="1" applyAlignment="1">
      <alignment horizontal="left" vertical="top" wrapText="1"/>
    </xf>
    <xf numFmtId="0" fontId="12" fillId="0" borderId="4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/>
    </xf>
    <xf numFmtId="164" fontId="12" fillId="0" borderId="1" xfId="0" applyNumberFormat="1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164" fontId="12" fillId="5" borderId="1" xfId="0" applyNumberFormat="1" applyFont="1" applyFill="1" applyBorder="1" applyAlignment="1">
      <alignment horizontal="right"/>
    </xf>
    <xf numFmtId="2" fontId="11" fillId="0" borderId="6" xfId="0" applyNumberFormat="1" applyFont="1" applyFill="1" applyBorder="1" applyAlignment="1">
      <alignment horizontal="center" vertical="center" wrapText="1"/>
    </xf>
    <xf numFmtId="2" fontId="11" fillId="0" borderId="7" xfId="0" applyNumberFormat="1" applyFont="1" applyFill="1" applyBorder="1" applyAlignment="1">
      <alignment horizontal="center" vertical="center" wrapText="1"/>
    </xf>
    <xf numFmtId="2" fontId="10" fillId="0" borderId="6" xfId="0" applyNumberFormat="1" applyFont="1" applyFill="1" applyBorder="1" applyAlignment="1">
      <alignment horizontal="center"/>
    </xf>
    <xf numFmtId="2" fontId="10" fillId="0" borderId="6" xfId="0" applyNumberFormat="1" applyFont="1" applyFill="1" applyBorder="1" applyAlignment="1">
      <alignment horizontal="center"/>
    </xf>
    <xf numFmtId="2" fontId="10" fillId="0" borderId="7" xfId="0" applyNumberFormat="1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4" fontId="11" fillId="0" borderId="6" xfId="0" applyNumberFormat="1" applyFont="1" applyFill="1" applyBorder="1" applyAlignment="1">
      <alignment horizontal="center" vertical="center" wrapText="1"/>
    </xf>
    <xf numFmtId="4" fontId="11" fillId="0" borderId="7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433137</xdr:colOff>
      <xdr:row>0</xdr:row>
      <xdr:rowOff>88231</xdr:rowOff>
    </xdr:from>
    <xdr:to>
      <xdr:col>8</xdr:col>
      <xdr:colOff>1211179</xdr:colOff>
      <xdr:row>5</xdr:row>
      <xdr:rowOff>160421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75A78A-9DFE-4540-B79B-B8265A3087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9502" t="7898" r="3943" b="33339"/>
        <a:stretch/>
      </xdr:blipFill>
      <xdr:spPr>
        <a:xfrm>
          <a:off x="3319212" y="88231"/>
          <a:ext cx="3273592" cy="9770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56148</xdr:rowOff>
    </xdr:from>
    <xdr:to>
      <xdr:col>4</xdr:col>
      <xdr:colOff>547935</xdr:colOff>
      <xdr:row>7</xdr:row>
      <xdr:rowOff>32085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3DEC6E-146B-46B3-B461-54EB02216B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899" r="50016" b="15194"/>
        <a:stretch/>
      </xdr:blipFill>
      <xdr:spPr>
        <a:xfrm>
          <a:off x="0" y="56148"/>
          <a:ext cx="3437519" cy="1267326"/>
        </a:xfrm>
        <a:prstGeom prst="rect">
          <a:avLst/>
        </a:prstGeom>
      </xdr:spPr>
    </xdr:pic>
    <xdr:clientData/>
  </xdr:twoCellAnchor>
  <xdr:twoCellAnchor editAs="oneCell">
    <xdr:from>
      <xdr:col>0</xdr:col>
      <xdr:colOff>80213</xdr:colOff>
      <xdr:row>43</xdr:row>
      <xdr:rowOff>89926</xdr:rowOff>
    </xdr:from>
    <xdr:to>
      <xdr:col>8</xdr:col>
      <xdr:colOff>1225215</xdr:colOff>
      <xdr:row>44</xdr:row>
      <xdr:rowOff>64168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92CEA6-5865-4DB7-8A71-8BDA1C5CF2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155" t="28470" r="11006" b="55390"/>
        <a:stretch/>
      </xdr:blipFill>
      <xdr:spPr>
        <a:xfrm>
          <a:off x="80213" y="9243451"/>
          <a:ext cx="6526627" cy="193317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10027</xdr:rowOff>
    </xdr:from>
    <xdr:to>
      <xdr:col>8</xdr:col>
      <xdr:colOff>1082842</xdr:colOff>
      <xdr:row>8</xdr:row>
      <xdr:rowOff>106279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2561F0B-F9A6-40FC-8AEB-ACD8986124CD}"/>
            </a:ext>
          </a:extLst>
        </xdr:cNvPr>
        <xdr:cNvSpPr txBox="1"/>
      </xdr:nvSpPr>
      <xdr:spPr>
        <a:xfrm>
          <a:off x="0" y="1276852"/>
          <a:ext cx="6464467" cy="2772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00" b="1" i="1"/>
            <a:t>Khách</a:t>
          </a:r>
          <a:r>
            <a:rPr lang="en-US" sz="1300" b="1" i="1" baseline="0"/>
            <a:t> hàng, địa chỉ: . . . . . . . . . . . . . . . . . . . . . . . . . . . . . . . . . . . . . . . . . . . . . . . . . . . . . . . </a:t>
          </a:r>
          <a:r>
            <a:rPr lang="en-US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. </a:t>
          </a:r>
          <a:endParaRPr lang="en-US" sz="1300" b="1" i="1" baseline="0"/>
        </a:p>
        <a:p>
          <a:r>
            <a:rPr lang="en-US" sz="1300" b="1" i="1" baseline="0"/>
            <a:t> . </a:t>
          </a:r>
        </a:p>
        <a:p>
          <a:r>
            <a:rPr lang="en-US" sz="1300" b="1" i="1" baseline="0"/>
            <a:t>. . . . . . . . . . . . . . . . . . .</a:t>
          </a:r>
          <a:endParaRPr lang="en-US" sz="1300" b="1" i="1"/>
        </a:p>
      </xdr:txBody>
    </xdr:sp>
    <xdr:clientData/>
  </xdr:twoCellAnchor>
  <xdr:twoCellAnchor>
    <xdr:from>
      <xdr:col>6</xdr:col>
      <xdr:colOff>272714</xdr:colOff>
      <xdr:row>5</xdr:row>
      <xdr:rowOff>160421</xdr:rowOff>
    </xdr:from>
    <xdr:to>
      <xdr:col>8</xdr:col>
      <xdr:colOff>1222006</xdr:colOff>
      <xdr:row>7</xdr:row>
      <xdr:rowOff>32085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77EAE39-4703-4E60-9D12-18B894CB5EF4}"/>
            </a:ext>
          </a:extLst>
        </xdr:cNvPr>
        <xdr:cNvSpPr txBox="1"/>
      </xdr:nvSpPr>
      <xdr:spPr>
        <a:xfrm>
          <a:off x="4339388" y="1082842"/>
          <a:ext cx="2312871" cy="2406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>
              <a:latin typeface="Bahnschrift" panose="020B0502040204020203" pitchFamily="34" charset="0"/>
              <a:cs typeface="Arial" panose="020B0604020202020204" pitchFamily="34" charset="0"/>
            </a:rPr>
            <a:t>Ngày</a:t>
          </a:r>
          <a:r>
            <a:rPr lang="en-US" sz="1200" b="0" baseline="0">
              <a:latin typeface="Bahnschrift" panose="020B0502040204020203" pitchFamily="34" charset="0"/>
              <a:cs typeface="Arial" panose="020B0604020202020204" pitchFamily="34" charset="0"/>
            </a:rPr>
            <a:t>  11   tháng  9 năm 2026</a:t>
          </a:r>
          <a:endParaRPr lang="en-US" sz="1200" b="0">
            <a:latin typeface="Bahnschrift" panose="020B0502040204020203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F006-B56F-4437-B8D4-742C413770F0}">
  <dimension ref="A1:I45"/>
  <sheetViews>
    <sheetView tabSelected="1" topLeftCell="A22" zoomScale="96" zoomScaleNormal="96" zoomScalePageLayoutView="95" workbookViewId="0">
      <selection activeCell="H16" sqref="H16"/>
    </sheetView>
  </sheetViews>
  <sheetFormatPr defaultRowHeight="14.4" x14ac:dyDescent="0.3"/>
  <cols>
    <col min="1" max="1" width="4.21875" style="1" customWidth="1"/>
    <col min="2" max="2" width="21.109375" customWidth="1"/>
    <col min="3" max="3" width="10.33203125" customWidth="1"/>
    <col min="4" max="4" width="4.6640625" customWidth="1"/>
    <col min="5" max="5" width="10.6640625" customWidth="1"/>
    <col min="6" max="6" width="5.21875" customWidth="1"/>
    <col min="7" max="7" width="10.77734375" customWidth="1"/>
    <col min="8" max="8" width="8.33203125" customWidth="1"/>
    <col min="9" max="9" width="18.77734375" customWidth="1"/>
  </cols>
  <sheetData>
    <row r="1" spans="1:9" x14ac:dyDescent="0.3">
      <c r="A1" s="68"/>
      <c r="B1" s="68"/>
      <c r="C1" s="68"/>
      <c r="D1" s="68"/>
      <c r="E1" s="68"/>
      <c r="F1" s="68"/>
      <c r="G1" s="68"/>
      <c r="H1" s="68"/>
      <c r="I1" s="68"/>
    </row>
    <row r="2" spans="1:9" x14ac:dyDescent="0.3">
      <c r="A2" s="68"/>
      <c r="B2" s="68"/>
      <c r="C2" s="68"/>
      <c r="D2" s="68"/>
      <c r="E2" s="68"/>
      <c r="F2" s="68"/>
      <c r="G2" s="68"/>
      <c r="H2" s="68"/>
      <c r="I2" s="68"/>
    </row>
    <row r="3" spans="1:9" x14ac:dyDescent="0.3">
      <c r="A3" s="68"/>
      <c r="B3" s="68"/>
      <c r="C3" s="68"/>
      <c r="D3" s="68"/>
      <c r="E3" s="68"/>
      <c r="F3" s="68"/>
      <c r="G3" s="68"/>
      <c r="H3" s="68"/>
      <c r="I3" s="68"/>
    </row>
    <row r="4" spans="1:9" x14ac:dyDescent="0.3">
      <c r="A4" s="68"/>
      <c r="B4" s="68"/>
      <c r="C4" s="68"/>
      <c r="D4" s="68"/>
      <c r="E4" s="68"/>
      <c r="F4" s="68"/>
      <c r="G4" s="68"/>
      <c r="H4" s="68"/>
      <c r="I4" s="68"/>
    </row>
    <row r="5" spans="1:9" x14ac:dyDescent="0.3">
      <c r="A5" s="68"/>
      <c r="B5" s="68"/>
      <c r="C5" s="68"/>
      <c r="D5" s="68"/>
      <c r="E5" s="68"/>
      <c r="F5" s="68"/>
      <c r="G5" s="68"/>
      <c r="H5" s="68"/>
      <c r="I5" s="68"/>
    </row>
    <row r="6" spans="1:9" x14ac:dyDescent="0.3">
      <c r="A6" s="68"/>
      <c r="B6" s="68"/>
      <c r="C6" s="68"/>
      <c r="D6" s="68"/>
      <c r="E6" s="68"/>
      <c r="F6" s="68"/>
      <c r="G6" s="68"/>
      <c r="H6" s="68"/>
      <c r="I6" s="68"/>
    </row>
    <row r="7" spans="1:9" x14ac:dyDescent="0.3">
      <c r="A7" s="68"/>
      <c r="B7" s="68"/>
      <c r="C7" s="68"/>
      <c r="D7" s="68"/>
      <c r="E7" s="68"/>
      <c r="F7" s="68"/>
      <c r="G7" s="68"/>
      <c r="H7" s="68"/>
      <c r="I7" s="68"/>
    </row>
    <row r="8" spans="1:9" x14ac:dyDescent="0.3">
      <c r="A8" s="68"/>
      <c r="B8" s="68"/>
      <c r="C8" s="68"/>
      <c r="D8" s="68"/>
      <c r="E8" s="68"/>
      <c r="F8" s="68"/>
      <c r="G8" s="68"/>
      <c r="H8" s="68"/>
      <c r="I8" s="68"/>
    </row>
    <row r="9" spans="1:9" x14ac:dyDescent="0.3">
      <c r="A9" s="69"/>
      <c r="B9" s="69"/>
      <c r="C9" s="69"/>
      <c r="D9" s="69"/>
      <c r="E9" s="69"/>
      <c r="F9" s="69"/>
      <c r="G9" s="69"/>
      <c r="H9" s="69"/>
      <c r="I9" s="69"/>
    </row>
    <row r="10" spans="1:9" ht="26.4" customHeight="1" x14ac:dyDescent="0.3">
      <c r="A10" s="2" t="s">
        <v>0</v>
      </c>
      <c r="B10" s="2" t="s">
        <v>1</v>
      </c>
      <c r="C10" s="2" t="s">
        <v>7</v>
      </c>
      <c r="D10" s="3" t="s">
        <v>6</v>
      </c>
      <c r="E10" s="2" t="s">
        <v>4</v>
      </c>
      <c r="F10" s="2" t="s">
        <v>5</v>
      </c>
      <c r="G10" s="2" t="s">
        <v>9</v>
      </c>
      <c r="H10" s="2" t="s">
        <v>2</v>
      </c>
      <c r="I10" s="2" t="s">
        <v>3</v>
      </c>
    </row>
    <row r="11" spans="1:9" ht="17.399999999999999" customHeight="1" x14ac:dyDescent="0.3">
      <c r="A11" s="52">
        <v>1</v>
      </c>
      <c r="B11" s="70" t="s">
        <v>13</v>
      </c>
      <c r="C11" s="22">
        <v>2.96</v>
      </c>
      <c r="D11" s="23">
        <v>1</v>
      </c>
      <c r="E11" s="50">
        <f>C11*D11</f>
        <v>2.96</v>
      </c>
      <c r="F11" s="56"/>
      <c r="G11" s="56"/>
      <c r="H11" s="25"/>
      <c r="I11" s="25"/>
    </row>
    <row r="12" spans="1:9" ht="17.399999999999999" customHeight="1" x14ac:dyDescent="0.3">
      <c r="A12" s="52">
        <v>2</v>
      </c>
      <c r="B12" s="71"/>
      <c r="C12" s="22">
        <v>3.09</v>
      </c>
      <c r="D12" s="23">
        <v>1</v>
      </c>
      <c r="E12" s="50">
        <f t="shared" ref="E12:E21" si="0">C12*D12</f>
        <v>3.09</v>
      </c>
      <c r="F12" s="22"/>
      <c r="G12" s="22"/>
      <c r="H12" s="26"/>
      <c r="I12" s="27"/>
    </row>
    <row r="13" spans="1:9" ht="17.399999999999999" customHeight="1" x14ac:dyDescent="0.3">
      <c r="A13" s="52">
        <v>3</v>
      </c>
      <c r="B13" s="71"/>
      <c r="C13" s="53">
        <v>3.21</v>
      </c>
      <c r="D13" s="26">
        <v>1</v>
      </c>
      <c r="E13" s="50">
        <f t="shared" si="0"/>
        <v>3.21</v>
      </c>
      <c r="F13" s="56"/>
      <c r="G13" s="57"/>
      <c r="H13" s="25"/>
      <c r="I13" s="28"/>
    </row>
    <row r="14" spans="1:9" ht="17.399999999999999" customHeight="1" x14ac:dyDescent="0.3">
      <c r="A14" s="52">
        <v>4</v>
      </c>
      <c r="B14" s="71"/>
      <c r="C14" s="53">
        <v>3.33</v>
      </c>
      <c r="D14" s="24">
        <v>1</v>
      </c>
      <c r="E14" s="50">
        <f t="shared" si="0"/>
        <v>3.33</v>
      </c>
      <c r="F14" s="56"/>
      <c r="G14" s="57"/>
      <c r="H14" s="25"/>
      <c r="I14" s="28"/>
    </row>
    <row r="15" spans="1:9" ht="17.399999999999999" customHeight="1" x14ac:dyDescent="0.3">
      <c r="A15" s="52">
        <v>5</v>
      </c>
      <c r="B15" s="71"/>
      <c r="C15" s="22">
        <v>3.46</v>
      </c>
      <c r="D15" s="23">
        <v>1</v>
      </c>
      <c r="E15" s="50">
        <f t="shared" si="0"/>
        <v>3.46</v>
      </c>
      <c r="F15" s="22"/>
      <c r="G15" s="22"/>
      <c r="H15" s="30"/>
      <c r="I15" s="31"/>
    </row>
    <row r="16" spans="1:9" ht="17.399999999999999" customHeight="1" x14ac:dyDescent="0.3">
      <c r="A16" s="52">
        <v>6</v>
      </c>
      <c r="B16" s="71"/>
      <c r="C16" s="22">
        <v>3.58</v>
      </c>
      <c r="D16" s="23">
        <v>1</v>
      </c>
      <c r="E16" s="50">
        <f t="shared" si="0"/>
        <v>3.58</v>
      </c>
      <c r="F16" s="22"/>
      <c r="G16" s="22"/>
      <c r="H16" s="30"/>
      <c r="I16" s="31"/>
    </row>
    <row r="17" spans="1:9" ht="17.399999999999999" customHeight="1" x14ac:dyDescent="0.3">
      <c r="A17" s="52">
        <v>7</v>
      </c>
      <c r="B17" s="71"/>
      <c r="C17" s="22">
        <v>3.72</v>
      </c>
      <c r="D17" s="23">
        <v>1</v>
      </c>
      <c r="E17" s="50">
        <f t="shared" si="0"/>
        <v>3.72</v>
      </c>
      <c r="F17" s="22"/>
      <c r="G17" s="58"/>
      <c r="H17" s="30"/>
      <c r="I17" s="31"/>
    </row>
    <row r="18" spans="1:9" ht="17.399999999999999" customHeight="1" x14ac:dyDescent="0.3">
      <c r="A18" s="52">
        <v>8</v>
      </c>
      <c r="B18" s="71"/>
      <c r="C18" s="22">
        <v>3.85</v>
      </c>
      <c r="D18" s="23">
        <v>1</v>
      </c>
      <c r="E18" s="50">
        <f t="shared" si="0"/>
        <v>3.85</v>
      </c>
      <c r="F18" s="59"/>
      <c r="G18" s="59"/>
      <c r="H18" s="54"/>
      <c r="I18" s="55"/>
    </row>
    <row r="19" spans="1:9" ht="17.399999999999999" customHeight="1" x14ac:dyDescent="0.3">
      <c r="A19" s="52">
        <v>9</v>
      </c>
      <c r="B19" s="71"/>
      <c r="C19" s="22">
        <v>4.1500000000000004</v>
      </c>
      <c r="D19" s="26">
        <v>1</v>
      </c>
      <c r="E19" s="50">
        <f t="shared" si="0"/>
        <v>4.1500000000000004</v>
      </c>
      <c r="F19" s="59"/>
      <c r="G19" s="59"/>
      <c r="H19" s="54"/>
      <c r="I19" s="55"/>
    </row>
    <row r="20" spans="1:9" ht="17.399999999999999" customHeight="1" x14ac:dyDescent="0.3">
      <c r="A20" s="52">
        <v>10</v>
      </c>
      <c r="B20" s="71"/>
      <c r="C20" s="22">
        <v>4.28</v>
      </c>
      <c r="D20" s="24">
        <v>1</v>
      </c>
      <c r="E20" s="50">
        <f t="shared" si="0"/>
        <v>4.28</v>
      </c>
      <c r="F20" s="60"/>
      <c r="G20" s="60"/>
      <c r="H20" s="61"/>
      <c r="I20" s="66"/>
    </row>
    <row r="21" spans="1:9" ht="17.399999999999999" customHeight="1" x14ac:dyDescent="0.3">
      <c r="A21" s="52">
        <v>11</v>
      </c>
      <c r="B21" s="71"/>
      <c r="C21" s="22">
        <v>4.5</v>
      </c>
      <c r="D21" s="23">
        <v>1</v>
      </c>
      <c r="E21" s="50">
        <f t="shared" si="0"/>
        <v>4.5</v>
      </c>
      <c r="F21" s="65"/>
      <c r="G21" s="74"/>
      <c r="H21" s="62"/>
      <c r="I21" s="67"/>
    </row>
    <row r="22" spans="1:9" ht="17.399999999999999" customHeight="1" x14ac:dyDescent="0.3">
      <c r="A22" s="52">
        <v>12</v>
      </c>
      <c r="B22" s="51" t="s">
        <v>10</v>
      </c>
      <c r="C22" s="22"/>
      <c r="D22" s="34">
        <f>SUM(D11:D21)</f>
        <v>11</v>
      </c>
      <c r="E22" s="63">
        <f>SUM(E11:E21)</f>
        <v>40.130000000000003</v>
      </c>
      <c r="F22" s="22">
        <v>1.08</v>
      </c>
      <c r="G22" s="42">
        <f>E22*F22</f>
        <v>43.340400000000002</v>
      </c>
      <c r="H22" s="64">
        <v>111</v>
      </c>
      <c r="I22" s="38">
        <f>G22*H22</f>
        <v>4810.7844000000005</v>
      </c>
    </row>
    <row r="23" spans="1:9" ht="17.399999999999999" customHeight="1" x14ac:dyDescent="0.3">
      <c r="A23" s="52">
        <v>13</v>
      </c>
      <c r="B23" s="21" t="s">
        <v>11</v>
      </c>
      <c r="C23" s="22">
        <v>3</v>
      </c>
      <c r="D23" s="23">
        <v>1</v>
      </c>
      <c r="E23" s="63">
        <f>C23*D23</f>
        <v>3</v>
      </c>
      <c r="F23" s="78" t="s">
        <v>15</v>
      </c>
      <c r="G23" s="79"/>
      <c r="H23" s="37">
        <v>38</v>
      </c>
      <c r="I23" s="38">
        <f>E23*H23</f>
        <v>114</v>
      </c>
    </row>
    <row r="24" spans="1:9" ht="17.399999999999999" customHeight="1" x14ac:dyDescent="0.3">
      <c r="A24" s="52">
        <v>14</v>
      </c>
      <c r="B24" s="39" t="s">
        <v>14</v>
      </c>
      <c r="C24" s="22">
        <v>5.7</v>
      </c>
      <c r="D24" s="23">
        <v>2</v>
      </c>
      <c r="E24" s="80">
        <v>14.83</v>
      </c>
      <c r="F24" s="81" t="s">
        <v>16</v>
      </c>
      <c r="G24" s="82"/>
      <c r="H24" s="64">
        <v>82</v>
      </c>
      <c r="I24" s="38">
        <f>E24*H24</f>
        <v>1216.06</v>
      </c>
    </row>
    <row r="25" spans="1:9" ht="17.399999999999999" customHeight="1" x14ac:dyDescent="0.3">
      <c r="A25" s="52">
        <v>15</v>
      </c>
      <c r="B25" s="39" t="s">
        <v>17</v>
      </c>
      <c r="C25" s="35"/>
      <c r="D25" s="34"/>
      <c r="E25" s="34">
        <v>5</v>
      </c>
      <c r="F25" s="83" t="s">
        <v>18</v>
      </c>
      <c r="G25" s="84"/>
      <c r="H25" s="32">
        <v>48</v>
      </c>
      <c r="I25" s="38">
        <f>E25*H25</f>
        <v>240</v>
      </c>
    </row>
    <row r="26" spans="1:9" ht="17.399999999999999" customHeight="1" x14ac:dyDescent="0.3">
      <c r="A26" s="52">
        <v>16</v>
      </c>
      <c r="B26" s="39" t="s">
        <v>20</v>
      </c>
      <c r="C26" s="35"/>
      <c r="D26" s="34"/>
      <c r="E26" s="34">
        <v>4</v>
      </c>
      <c r="F26" s="85" t="s">
        <v>19</v>
      </c>
      <c r="G26" s="86"/>
      <c r="H26" s="30">
        <v>75</v>
      </c>
      <c r="I26" s="38">
        <f>E26*H26</f>
        <v>300</v>
      </c>
    </row>
    <row r="27" spans="1:9" ht="17.399999999999999" customHeight="1" x14ac:dyDescent="0.3">
      <c r="A27" s="52"/>
      <c r="B27" s="33"/>
      <c r="C27" s="41"/>
      <c r="D27" s="34"/>
      <c r="E27" s="35"/>
      <c r="F27" s="22"/>
      <c r="G27" s="42"/>
      <c r="H27" s="30"/>
      <c r="I27" s="38" t="s">
        <v>12</v>
      </c>
    </row>
    <row r="28" spans="1:9" ht="17.399999999999999" customHeight="1" x14ac:dyDescent="0.3">
      <c r="A28" s="76"/>
      <c r="B28" s="76"/>
      <c r="C28" s="76"/>
      <c r="D28" s="76"/>
      <c r="E28" s="76"/>
      <c r="F28" s="76"/>
      <c r="G28" s="76"/>
      <c r="H28" s="76"/>
      <c r="I28" s="77">
        <f>SUM(I22:I26)</f>
        <v>6680.8444</v>
      </c>
    </row>
    <row r="29" spans="1:9" ht="16.2" customHeight="1" x14ac:dyDescent="0.3">
      <c r="A29" s="52"/>
      <c r="B29" s="39"/>
      <c r="C29" s="40"/>
      <c r="D29" s="23"/>
      <c r="E29" s="22"/>
      <c r="F29" s="22"/>
      <c r="G29" s="42"/>
      <c r="H29" s="30"/>
      <c r="I29" s="38"/>
    </row>
    <row r="30" spans="1:9" ht="17.399999999999999" customHeight="1" x14ac:dyDescent="0.3">
      <c r="A30" s="39"/>
      <c r="B30" s="39"/>
      <c r="C30" s="39"/>
      <c r="D30" s="39"/>
      <c r="E30" s="39"/>
      <c r="F30" s="39"/>
      <c r="G30" s="39"/>
      <c r="H30" s="39"/>
      <c r="I30" s="75"/>
    </row>
    <row r="31" spans="1:9" ht="17.399999999999999" customHeight="1" x14ac:dyDescent="0.3">
      <c r="A31" s="52"/>
      <c r="B31" s="21"/>
      <c r="C31" s="32"/>
      <c r="D31" s="34"/>
      <c r="E31" s="35"/>
      <c r="F31" s="29"/>
      <c r="G31" s="42"/>
      <c r="H31" s="30"/>
      <c r="I31" s="31"/>
    </row>
    <row r="32" spans="1:9" ht="17.399999999999999" customHeight="1" x14ac:dyDescent="0.3">
      <c r="A32" s="52"/>
      <c r="B32" s="39"/>
      <c r="C32" s="36"/>
      <c r="D32" s="37"/>
      <c r="E32" s="43"/>
      <c r="F32" s="43"/>
      <c r="G32" s="43"/>
      <c r="H32" s="45"/>
      <c r="I32" s="38"/>
    </row>
    <row r="33" spans="1:9" ht="17.399999999999999" customHeight="1" x14ac:dyDescent="0.3">
      <c r="A33" s="52"/>
      <c r="B33" s="39"/>
      <c r="C33" s="36"/>
      <c r="D33" s="34"/>
      <c r="E33" s="35"/>
      <c r="F33" s="23"/>
      <c r="G33" s="46"/>
      <c r="H33" s="45"/>
      <c r="I33" s="31"/>
    </row>
    <row r="34" spans="1:9" ht="17.399999999999999" customHeight="1" x14ac:dyDescent="0.3">
      <c r="A34" s="52"/>
      <c r="B34" s="39"/>
      <c r="C34" s="36"/>
      <c r="D34" s="34"/>
      <c r="E34" s="35"/>
      <c r="F34" s="22"/>
      <c r="G34" s="46"/>
      <c r="H34" s="45"/>
      <c r="I34" s="38"/>
    </row>
    <row r="35" spans="1:9" ht="17.399999999999999" customHeight="1" x14ac:dyDescent="0.3">
      <c r="A35" s="5"/>
      <c r="B35" s="39"/>
      <c r="C35" s="35"/>
      <c r="D35" s="47"/>
      <c r="E35" s="48"/>
      <c r="F35" s="29"/>
      <c r="G35" s="44"/>
      <c r="H35" s="49"/>
      <c r="I35" s="38"/>
    </row>
    <row r="36" spans="1:9" ht="17.399999999999999" customHeight="1" x14ac:dyDescent="0.3">
      <c r="A36" s="5"/>
      <c r="B36" s="39"/>
      <c r="C36" s="35"/>
      <c r="D36" s="47"/>
      <c r="E36" s="48"/>
      <c r="F36" s="29"/>
      <c r="G36" s="44"/>
      <c r="H36" s="30"/>
      <c r="I36" s="31"/>
    </row>
    <row r="37" spans="1:9" ht="19.8" customHeight="1" x14ac:dyDescent="0.3">
      <c r="A37" s="5"/>
      <c r="B37" s="4"/>
      <c r="C37" s="15"/>
      <c r="D37" s="16"/>
      <c r="E37" s="10"/>
      <c r="F37" s="11"/>
      <c r="G37" s="11"/>
      <c r="H37" s="12"/>
      <c r="I37" s="9"/>
    </row>
    <row r="38" spans="1:9" ht="17.399999999999999" customHeight="1" x14ac:dyDescent="0.3">
      <c r="A38" s="4"/>
      <c r="B38" s="4"/>
      <c r="C38" s="4"/>
      <c r="D38" s="4"/>
      <c r="E38" s="4"/>
      <c r="F38" s="4"/>
      <c r="G38" s="4"/>
      <c r="H38" s="20"/>
      <c r="I38" s="9"/>
    </row>
    <row r="39" spans="1:9" ht="15.6" customHeight="1" x14ac:dyDescent="0.3">
      <c r="A39" s="5"/>
      <c r="B39" s="4"/>
      <c r="C39" s="18"/>
      <c r="D39" s="17"/>
      <c r="E39" s="7"/>
      <c r="F39" s="13"/>
      <c r="G39" s="13"/>
      <c r="H39" s="8"/>
      <c r="I39" s="9"/>
    </row>
    <row r="40" spans="1:9" ht="17.399999999999999" customHeight="1" x14ac:dyDescent="0.3">
      <c r="A40" s="5"/>
      <c r="B40" s="4"/>
      <c r="C40" s="15"/>
      <c r="D40" s="5"/>
      <c r="E40" s="7"/>
      <c r="F40" s="4"/>
      <c r="G40" s="4"/>
      <c r="H40" s="5"/>
      <c r="I40" s="9"/>
    </row>
    <row r="41" spans="1:9" ht="17.399999999999999" customHeight="1" x14ac:dyDescent="0.3">
      <c r="A41" s="5"/>
      <c r="B41" s="4"/>
      <c r="C41" s="4"/>
      <c r="D41" s="4"/>
      <c r="E41" s="7"/>
      <c r="F41" s="4"/>
      <c r="G41" s="4"/>
      <c r="H41" s="4"/>
      <c r="I41" s="19"/>
    </row>
    <row r="42" spans="1:9" ht="14.4" customHeight="1" x14ac:dyDescent="0.3">
      <c r="A42" s="5"/>
      <c r="B42" s="4"/>
      <c r="C42" s="4"/>
      <c r="D42" s="4"/>
      <c r="E42" s="7"/>
      <c r="F42" s="4"/>
      <c r="G42" s="4"/>
      <c r="H42" s="4"/>
      <c r="I42" s="14"/>
    </row>
    <row r="43" spans="1:9" ht="17.399999999999999" customHeight="1" x14ac:dyDescent="0.3">
      <c r="A43" s="73" t="s">
        <v>8</v>
      </c>
      <c r="B43" s="73"/>
      <c r="C43" s="73"/>
      <c r="D43" s="73"/>
      <c r="E43" s="73"/>
      <c r="F43" s="73"/>
      <c r="G43" s="73"/>
      <c r="H43" s="73"/>
      <c r="I43" s="6"/>
    </row>
    <row r="44" spans="1:9" ht="17.399999999999999" customHeight="1" x14ac:dyDescent="0.3">
      <c r="A44" s="72"/>
      <c r="B44" s="72"/>
      <c r="C44" s="72"/>
      <c r="D44" s="72"/>
      <c r="E44" s="72"/>
      <c r="F44" s="72"/>
      <c r="G44" s="72"/>
      <c r="H44" s="72"/>
      <c r="I44" s="72"/>
    </row>
    <row r="45" spans="1:9" ht="17.399999999999999" customHeight="1" x14ac:dyDescent="0.3">
      <c r="A45" s="72"/>
      <c r="B45" s="72"/>
      <c r="C45" s="72"/>
      <c r="D45" s="72"/>
      <c r="E45" s="72"/>
      <c r="F45" s="72"/>
      <c r="G45" s="72"/>
      <c r="H45" s="72"/>
      <c r="I45" s="72"/>
    </row>
  </sheetData>
  <mergeCells count="8">
    <mergeCell ref="A1:I9"/>
    <mergeCell ref="A44:I45"/>
    <mergeCell ref="A43:H43"/>
    <mergeCell ref="B11:B21"/>
    <mergeCell ref="F23:G23"/>
    <mergeCell ref="F24:G24"/>
    <mergeCell ref="F25:G25"/>
    <mergeCell ref="F26:G26"/>
  </mergeCells>
  <pageMargins left="0.5" right="0.5" top="0.15" bottom="0" header="0" footer="0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55. Hồ Ngọc Tùng</dc:creator>
  <cp:lastModifiedBy>55. Hồ Ngọc Tùng</cp:lastModifiedBy>
  <cp:lastPrinted>2026-09-11T01:50:35Z</cp:lastPrinted>
  <dcterms:created xsi:type="dcterms:W3CDTF">2025-07-26T02:38:38Z</dcterms:created>
  <dcterms:modified xsi:type="dcterms:W3CDTF">2026-09-11T01:53:59Z</dcterms:modified>
</cp:coreProperties>
</file>